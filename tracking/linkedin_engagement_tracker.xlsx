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Performance Tracker" sheetId="1" state="visible" r:id="rId1"/>
    <sheet name="Dashboard" sheetId="2" state="visible" r:id="rId2"/>
    <sheet name="Respons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A90E2"/>
        <bgColor rgb="00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D4ED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8D7DA"/>
        </patternFill>
      </fill>
    </dxf>
    <dxf>
      <font>
        <b val="1"/>
        <color rgb="00FFFFFF"/>
      </font>
      <fill>
        <patternFill patternType="solid">
          <fgColor rgb="0034A853"/>
        </patternFill>
      </fill>
    </dxf>
    <dxf>
      <font>
        <b val="1"/>
        <color rgb="00FFFFFF"/>
      </font>
      <fill>
        <patternFill patternType="solid">
          <fgColor rgb="00EA4335"/>
        </patternFill>
      </fill>
    </dxf>
    <dxf>
      <fill>
        <patternFill patternType="solid">
          <fgColor rgb="0034A853"/>
        </patternFill>
      </fill>
    </dxf>
    <dxf>
      <fill>
        <patternFill patternType="solid">
          <fgColor rgb="00FBBC04"/>
        </patternFill>
      </fill>
    </dxf>
    <dxf>
      <fill>
        <patternFill patternType="solid">
          <fgColor rgb="004A9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8" customWidth="1" min="7" max="7"/>
    <col width="10" customWidth="1" min="8" max="8"/>
    <col width="8" customWidth="1" min="9" max="9"/>
    <col width="12" customWidth="1" min="10" max="10"/>
    <col width="12" customWidth="1" min="11" max="11"/>
    <col width="12" customWidth="1" min="12" max="12"/>
    <col width="3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</cols>
  <sheetData>
    <row r="1">
      <c r="A1" s="1" t="inlineStr">
        <is>
          <t>Post ID</t>
        </is>
      </c>
      <c r="B1" s="1" t="inlineStr">
        <is>
          <t>Date Posted</t>
        </is>
      </c>
      <c r="C1" s="1" t="inlineStr">
        <is>
          <t>Vertical</t>
        </is>
      </c>
      <c r="D1" s="1" t="inlineStr">
        <is>
          <t>Pain Point</t>
        </is>
      </c>
      <c r="E1" s="1" t="inlineStr">
        <is>
          <t>Post Type</t>
        </is>
      </c>
      <c r="F1" s="1" t="inlineStr">
        <is>
          <t>Impressions</t>
        </is>
      </c>
      <c r="G1" s="1" t="inlineStr">
        <is>
          <t>Likes</t>
        </is>
      </c>
      <c r="H1" s="1" t="inlineStr">
        <is>
          <t>Comments</t>
        </is>
      </c>
      <c r="I1" s="1" t="inlineStr">
        <is>
          <t>Shares</t>
        </is>
      </c>
      <c r="J1" s="1" t="inlineStr">
        <is>
          <t>DMs Received</t>
        </is>
      </c>
      <c r="K1" s="1" t="inlineStr">
        <is>
          <t>Videos Sent</t>
        </is>
      </c>
      <c r="L1" s="1" t="inlineStr">
        <is>
          <t>Demos Booked</t>
        </is>
      </c>
      <c r="M1" s="1" t="inlineStr">
        <is>
          <t>Notes</t>
        </is>
      </c>
      <c r="N1" s="1" t="inlineStr">
        <is>
          <t>Total Engagement</t>
        </is>
      </c>
      <c r="O1" s="1" t="inlineStr">
        <is>
          <t>Engagement %</t>
        </is>
      </c>
      <c r="P1" s="1" t="inlineStr">
        <is>
          <t>Conversion %</t>
        </is>
      </c>
      <c r="Q1" s="1" t="inlineStr">
        <is>
          <t>Video→Demo %</t>
        </is>
      </c>
      <c r="R1" s="1" t="inlineStr">
        <is>
          <t>Cost/Engage</t>
        </is>
      </c>
      <c r="S1" s="1" t="inlineStr">
        <is>
          <t>Tier</t>
        </is>
      </c>
      <c r="T1" s="1" t="inlineStr">
        <is>
          <t>Status</t>
        </is>
      </c>
    </row>
    <row r="2">
      <c r="A2" t="inlineStr">
        <is>
          <t>EC-001</t>
        </is>
      </c>
      <c r="B2" s="2" t="n">
        <v>45670</v>
      </c>
      <c r="C2" t="inlineStr">
        <is>
          <t>Electrical</t>
        </is>
      </c>
      <c r="D2" t="inlineStr">
        <is>
          <t>Material Cost Overruns</t>
        </is>
      </c>
      <c r="E2" t="inlineStr">
        <is>
          <t>Hand-Raiser</t>
        </is>
      </c>
      <c r="F2" t="n">
        <v>1247</v>
      </c>
      <c r="G2" t="n">
        <v>63</v>
      </c>
      <c r="H2" t="n">
        <v>8</v>
      </c>
      <c r="I2" t="n">
        <v>2</v>
      </c>
      <c r="J2" t="n">
        <v>5</v>
      </c>
      <c r="K2" t="n">
        <v>5</v>
      </c>
      <c r="L2" t="n">
        <v>2</v>
      </c>
      <c r="M2" t="inlineStr">
        <is>
          <t>High engagement on copper price spike</t>
        </is>
      </c>
      <c r="N2">
        <f>SUM(G2:I2)</f>
        <v/>
      </c>
      <c r="O2" s="3">
        <f>IF(F2&gt;0,N2/F2*100,0)</f>
        <v/>
      </c>
      <c r="P2" s="3">
        <f>IF(F2&gt;0,(H2+J2)/F2*100,0)</f>
        <v/>
      </c>
      <c r="Q2" s="3">
        <f>IF(K2&gt;0,L2/K2*100,0)</f>
        <v/>
      </c>
      <c r="R2" t="n">
        <v>0</v>
      </c>
      <c r="S2">
        <f>IF(O2&gt;=5,"🟢 High",IF(O2&gt;=2,"🟡 Medium","🔴 Low"))</f>
        <v/>
      </c>
      <c r="T2">
        <f>IF(L2&gt;0,"✅ Closed",IF(K2&gt;0,"📹 Video Sent",IF(J2&gt;0,"💬 Engaged","👀 Posted")))</f>
        <v/>
      </c>
    </row>
    <row r="3">
      <c r="A3" t="inlineStr">
        <is>
          <t>EC-002</t>
        </is>
      </c>
      <c r="B3" s="2" t="n">
        <v>45672</v>
      </c>
      <c r="C3" t="inlineStr">
        <is>
          <t>Electrical</t>
        </is>
      </c>
      <c r="D3" t="inlineStr">
        <is>
          <t>Labor Burden</t>
        </is>
      </c>
      <c r="E3" t="inlineStr">
        <is>
          <t>Hand-Raiser</t>
        </is>
      </c>
      <c r="F3" t="n">
        <v>892</v>
      </c>
      <c r="G3" t="n">
        <v>34</v>
      </c>
      <c r="H3" t="n">
        <v>3</v>
      </c>
      <c r="I3" t="n">
        <v>1</v>
      </c>
      <c r="J3" t="n">
        <v>2</v>
      </c>
      <c r="K3" t="n">
        <v>2</v>
      </c>
      <c r="L3" t="n">
        <v>0</v>
      </c>
      <c r="M3" t="inlineStr">
        <is>
          <t>Lower engagement, may need refinement</t>
        </is>
      </c>
      <c r="N3">
        <f>SUM(G3:I3)</f>
        <v/>
      </c>
      <c r="O3" s="3">
        <f>IF(F3&gt;0,N3/F3*100,0)</f>
        <v/>
      </c>
      <c r="P3" s="3">
        <f>IF(F3&gt;0,(H3+J3)/F3*100,0)</f>
        <v/>
      </c>
      <c r="Q3" s="3">
        <f>IF(K3&gt;0,L3/K3*100,0)</f>
        <v/>
      </c>
      <c r="R3" t="n">
        <v>0</v>
      </c>
      <c r="S3">
        <f>IF(O3&gt;=5,"🟢 High",IF(O3&gt;=2,"🟡 Medium","🔴 Low"))</f>
        <v/>
      </c>
      <c r="T3">
        <f>IF(L3&gt;0,"✅ Closed",IF(K3&gt;0,"📹 Video Sent",IF(J3&gt;0,"💬 Engaged","👀 Posted")))</f>
        <v/>
      </c>
    </row>
    <row r="4">
      <c r="A4" t="inlineStr">
        <is>
          <t>HV-001</t>
        </is>
      </c>
      <c r="B4" s="2" t="n">
        <v>45672</v>
      </c>
      <c r="C4" t="inlineStr">
        <is>
          <t>HVAC</t>
        </is>
      </c>
      <c r="D4" t="inlineStr">
        <is>
          <t>Labor Burden Blindness</t>
        </is>
      </c>
      <c r="E4" t="inlineStr">
        <is>
          <t>Hand-Raiser</t>
        </is>
      </c>
      <c r="F4" t="n">
        <v>1583</v>
      </c>
      <c r="G4" t="n">
        <v>87</v>
      </c>
      <c r="H4" t="n">
        <v>12</v>
      </c>
      <c r="I4" t="n">
        <v>4</v>
      </c>
      <c r="J4" t="n">
        <v>8</v>
      </c>
      <c r="K4" t="n">
        <v>7</v>
      </c>
      <c r="L4" t="n">
        <v>3</v>
      </c>
      <c r="M4" t="inlineStr">
        <is>
          <t>Strong resonance on "80% done" angle</t>
        </is>
      </c>
      <c r="N4">
        <f>SUM(G4:I4)</f>
        <v/>
      </c>
      <c r="O4" s="3">
        <f>IF(F4&gt;0,N4/F4*100,0)</f>
        <v/>
      </c>
      <c r="P4" s="3">
        <f>IF(F4&gt;0,(H4+J4)/F4*100,0)</f>
        <v/>
      </c>
      <c r="Q4" s="3">
        <f>IF(K4&gt;0,L4/K4*100,0)</f>
        <v/>
      </c>
      <c r="R4" t="n">
        <v>0</v>
      </c>
      <c r="S4">
        <f>IF(O4&gt;=5,"🟢 High",IF(O4&gt;=2,"🟡 Medium","🔴 Low"))</f>
        <v/>
      </c>
      <c r="T4">
        <f>IF(L4&gt;0,"✅ Closed",IF(K4&gt;0,"📹 Video Sent",IF(J4&gt;0,"💬 Engaged","👀 Posted")))</f>
        <v/>
      </c>
    </row>
    <row r="5">
      <c r="A5" t="inlineStr">
        <is>
          <t>PL-001</t>
        </is>
      </c>
      <c r="B5" s="2" t="n">
        <v>45674</v>
      </c>
      <c r="C5" t="inlineStr">
        <is>
          <t>Plumbing</t>
        </is>
      </c>
      <c r="D5" t="inlineStr">
        <is>
          <t>Admin Time Waste</t>
        </is>
      </c>
      <c r="E5" t="inlineStr">
        <is>
          <t>Hand-Raiser</t>
        </is>
      </c>
      <c r="F5" t="n">
        <v>1129</v>
      </c>
      <c r="G5" t="n">
        <v>56</v>
      </c>
      <c r="H5" t="n">
        <v>6</v>
      </c>
      <c r="I5" t="n">
        <v>2</v>
      </c>
      <c r="J5" t="n">
        <v>4</v>
      </c>
      <c r="K5" t="n">
        <v>4</v>
      </c>
      <c r="L5" t="n">
        <v>1</v>
      </c>
      <c r="M5" t="inlineStr">
        <is>
          <t>Office manager empathy angle worked</t>
        </is>
      </c>
      <c r="N5">
        <f>SUM(G5:I5)</f>
        <v/>
      </c>
      <c r="O5" s="3">
        <f>IF(F5&gt;0,N5/F5*100,0)</f>
        <v/>
      </c>
      <c r="P5" s="3">
        <f>IF(F5&gt;0,(H5+J5)/F5*100,0)</f>
        <v/>
      </c>
      <c r="Q5" s="3">
        <f>IF(K5&gt;0,L5/K5*100,0)</f>
        <v/>
      </c>
      <c r="R5" t="n">
        <v>0</v>
      </c>
      <c r="S5">
        <f>IF(O5&gt;=5,"🟢 High",IF(O5&gt;=2,"🟡 Medium","🔴 Low"))</f>
        <v/>
      </c>
      <c r="T5">
        <f>IF(L5&gt;0,"✅ Closed",IF(K5&gt;0,"📹 Video Sent",IF(J5&gt;0,"💬 Engaged","👀 Posted")))</f>
        <v/>
      </c>
    </row>
    <row r="6">
      <c r="A6" t="inlineStr">
        <is>
          <t>HV-002</t>
        </is>
      </c>
      <c r="B6" s="2" t="n">
        <v>45677</v>
      </c>
      <c r="C6" t="inlineStr">
        <is>
          <t>HVAC</t>
        </is>
      </c>
      <c r="D6" t="inlineStr">
        <is>
          <t>Material Cost Overruns</t>
        </is>
      </c>
      <c r="E6" t="inlineStr">
        <is>
          <t>Hand-Raiser</t>
        </is>
      </c>
      <c r="F6" t="n">
        <v>743</v>
      </c>
      <c r="G6" t="n">
        <v>28</v>
      </c>
      <c r="H6" t="n">
        <v>2</v>
      </c>
      <c r="I6" t="n">
        <v>0</v>
      </c>
      <c r="J6" t="n">
        <v>1</v>
      </c>
      <c r="K6" t="n">
        <v>1</v>
      </c>
      <c r="L6" t="n">
        <v>0</v>
      </c>
      <c r="M6" t="inlineStr">
        <is>
          <t>Cross-tested electrical pain point, lower fit</t>
        </is>
      </c>
      <c r="N6">
        <f>SUM(G6:I6)</f>
        <v/>
      </c>
      <c r="O6" s="3">
        <f>IF(F6&gt;0,N6/F6*100,0)</f>
        <v/>
      </c>
      <c r="P6" s="3">
        <f>IF(F6&gt;0,(H6+J6)/F6*100,0)</f>
        <v/>
      </c>
      <c r="Q6" s="3">
        <f>IF(K6&gt;0,L6/K6*100,0)</f>
        <v/>
      </c>
      <c r="R6" t="n">
        <v>0</v>
      </c>
      <c r="S6">
        <f>IF(O6&gt;=5,"🟢 High",IF(O6&gt;=2,"🟡 Medium","🔴 Low"))</f>
        <v/>
      </c>
      <c r="T6">
        <f>IF(L6&gt;0,"✅ Closed",IF(K6&gt;0,"📹 Video Sent",IF(J6&gt;0,"💬 Engaged","👀 Posted")))</f>
        <v/>
      </c>
    </row>
    <row r="7">
      <c r="A7" t="inlineStr">
        <is>
          <t>EC-003</t>
        </is>
      </c>
      <c r="B7" s="2" t="n">
        <v>45679</v>
      </c>
      <c r="C7" t="inlineStr">
        <is>
          <t>Electrical</t>
        </is>
      </c>
      <c r="D7" t="inlineStr">
        <is>
          <t>Cash Flow Delays</t>
        </is>
      </c>
      <c r="E7" t="inlineStr">
        <is>
          <t>Educational</t>
        </is>
      </c>
      <c r="F7" t="n">
        <v>1034</v>
      </c>
      <c r="G7" t="n">
        <v>41</v>
      </c>
      <c r="H7" t="n">
        <v>5</v>
      </c>
      <c r="I7" t="n">
        <v>1</v>
      </c>
      <c r="J7" t="n">
        <v>3</v>
      </c>
      <c r="K7" t="n">
        <v>3</v>
      </c>
      <c r="L7" t="n">
        <v>1</v>
      </c>
      <c r="M7" t="inlineStr">
        <is>
          <t>Testing new pain point angle</t>
        </is>
      </c>
      <c r="N7">
        <f>SUM(G7:I7)</f>
        <v/>
      </c>
      <c r="O7" s="3">
        <f>IF(F7&gt;0,N7/F7*100,0)</f>
        <v/>
      </c>
      <c r="P7" s="3">
        <f>IF(F7&gt;0,(H7+J7)/F7*100,0)</f>
        <v/>
      </c>
      <c r="Q7" s="3">
        <f>IF(K7&gt;0,L7/K7*100,0)</f>
        <v/>
      </c>
      <c r="R7" t="n">
        <v>0</v>
      </c>
      <c r="S7">
        <f>IF(O7&gt;=5,"🟢 High",IF(O7&gt;=2,"🟡 Medium","🔴 Low"))</f>
        <v/>
      </c>
      <c r="T7">
        <f>IF(L7&gt;0,"✅ Closed",IF(K7&gt;0,"📹 Video Sent",IF(J7&gt;0,"💬 Engaged","👀 Posted")))</f>
        <v/>
      </c>
    </row>
  </sheetData>
  <conditionalFormatting sqref="O2:O100">
    <cfRule type="colorScale" priority="1">
      <colorScale>
        <cfvo type="num" val="0"/>
        <cfvo type="num" val="5"/>
        <cfvo type="num" val="10"/>
        <color rgb="00EA4335"/>
        <color rgb="00FBBC04"/>
        <color rgb="0034A853"/>
      </colorScale>
    </cfRule>
  </conditionalFormatting>
  <conditionalFormatting sqref="S2:S100">
    <cfRule type="cellIs" priority="2" operator="containsText" dxfId="0">
      <formula>"High"</formula>
    </cfRule>
    <cfRule type="cellIs" priority="3" operator="containsText" dxfId="1">
      <formula>"Medium"</formula>
    </cfRule>
    <cfRule type="cellIs" priority="4" operator="containsText" dxfId="2">
      <formula>"Low"</formula>
    </cfRule>
  </conditionalFormatting>
  <conditionalFormatting sqref="L2:L100">
    <cfRule type="cellIs" priority="5" operator="greaterThan" dxfId="3">
      <formula>0</formula>
    </cfRule>
  </conditionalFormatting>
  <dataValidations count="3">
    <dataValidation sqref="C2:C100" showDropDown="0" showInputMessage="0" showErrorMessage="0" allowBlank="0" type="list">
      <formula1>"Electrical,HVAC,Plumbing,Energy,Multi-Vertical"</formula1>
    </dataValidation>
    <dataValidation sqref="D2:D100" showDropDown="0" showInputMessage="0" showErrorMessage="0" allowBlank="0" type="list">
      <formula1>"Material Cost Overruns,Labor Burden Blindness,Admin Time Waste,Cash Flow Delays,Job Profitability Opacity"</formula1>
    </dataValidation>
    <dataValidation sqref="E2:E100" showDropDown="0" showInputMessage="0" showErrorMessage="0" allowBlank="0" type="list">
      <formula1>"Hand-Raiser,Educational,Case Study,Poll/Survey,Testimonial"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VERTICAL PERFORMANCE SUMMARY</t>
        </is>
      </c>
    </row>
    <row r="2">
      <c r="A2" s="5" t="inlineStr">
        <is>
          <t>Vertical</t>
        </is>
      </c>
      <c r="B2" s="5" t="inlineStr">
        <is>
          <t>Total Posts</t>
        </is>
      </c>
      <c r="C2" s="5" t="inlineStr">
        <is>
          <t>Avg Engage%</t>
        </is>
      </c>
      <c r="D2" s="5" t="inlineStr">
        <is>
          <t>Total DMs</t>
        </is>
      </c>
      <c r="E2" s="5" t="inlineStr">
        <is>
          <t>Videos Sent</t>
        </is>
      </c>
      <c r="F2" s="5" t="inlineStr">
        <is>
          <t>Demos Booked</t>
        </is>
      </c>
    </row>
    <row r="3">
      <c r="A3" t="inlineStr">
        <is>
          <t>Electrical</t>
        </is>
      </c>
      <c r="B3">
        <f>COUNTIF('Post Performance Tracker'!C:C,"Electrical")</f>
        <v/>
      </c>
      <c r="C3" s="3">
        <f>IFERROR(AVERAGEIF('Post Performance Tracker'!C:C,"Electrical",'Post Performance Tracker'!O:O),0)</f>
        <v/>
      </c>
      <c r="D3">
        <f>SUMIF('Post Performance Tracker'!C:C,"Electrical",'Post Performance Tracker'!J:J)</f>
        <v/>
      </c>
      <c r="E3">
        <f>SUMIF('Post Performance Tracker'!C:C,"Electrical",'Post Performance Tracker'!K:K)</f>
        <v/>
      </c>
      <c r="F3">
        <f>SUMIF('Post Performance Tracker'!C:C,"Electrical",'Post Performance Tracker'!L:L)</f>
        <v/>
      </c>
    </row>
    <row r="4">
      <c r="A4" t="inlineStr">
        <is>
          <t>HVAC</t>
        </is>
      </c>
      <c r="B4">
        <f>COUNTIF('Post Performance Tracker'!C:C,"HVAC")</f>
        <v/>
      </c>
      <c r="C4" s="3">
        <f>IFERROR(AVERAGEIF('Post Performance Tracker'!C:C,"HVAC",'Post Performance Tracker'!O:O),0)</f>
        <v/>
      </c>
      <c r="D4">
        <f>SUMIF('Post Performance Tracker'!C:C,"HVAC",'Post Performance Tracker'!J:J)</f>
        <v/>
      </c>
      <c r="E4">
        <f>SUMIF('Post Performance Tracker'!C:C,"HVAC",'Post Performance Tracker'!K:K)</f>
        <v/>
      </c>
      <c r="F4">
        <f>SUMIF('Post Performance Tracker'!C:C,"HVAC",'Post Performance Tracker'!L:L)</f>
        <v/>
      </c>
    </row>
    <row r="5">
      <c r="A5" t="inlineStr">
        <is>
          <t>Plumbing</t>
        </is>
      </c>
      <c r="B5">
        <f>COUNTIF('Post Performance Tracker'!C:C,"Plumbing")</f>
        <v/>
      </c>
      <c r="C5" s="3">
        <f>IFERROR(AVERAGEIF('Post Performance Tracker'!C:C,"Plumbing",'Post Performance Tracker'!O:O),0)</f>
        <v/>
      </c>
      <c r="D5">
        <f>SUMIF('Post Performance Tracker'!C:C,"Plumbing",'Post Performance Tracker'!J:J)</f>
        <v/>
      </c>
      <c r="E5">
        <f>SUMIF('Post Performance Tracker'!C:C,"Plumbing",'Post Performance Tracker'!K:K)</f>
        <v/>
      </c>
      <c r="F5">
        <f>SUMIF('Post Performance Tracker'!C:C,"Plumbing",'Post Performance Tracker'!L:L)</f>
        <v/>
      </c>
    </row>
    <row r="6">
      <c r="A6" s="6" t="inlineStr">
        <is>
          <t>TOTAL</t>
        </is>
      </c>
      <c r="B6" s="6">
        <f>SUM(B3:B5)</f>
        <v/>
      </c>
      <c r="C6" s="7">
        <f>AVERAGE(C3:C5)</f>
        <v/>
      </c>
      <c r="D6" s="6">
        <f>SUM(D3:D5)</f>
        <v/>
      </c>
      <c r="E6" s="6">
        <f>SUM(E3:E5)</f>
        <v/>
      </c>
      <c r="F6" s="6">
        <f>SUM(F3:F5)</f>
        <v/>
      </c>
    </row>
    <row r="9">
      <c r="A9" s="4" t="inlineStr">
        <is>
          <t>PAIN POINT PERFORMANCE</t>
        </is>
      </c>
    </row>
    <row r="10">
      <c r="A10" s="5" t="inlineStr">
        <is>
          <t>Pain Point</t>
        </is>
      </c>
      <c r="B10" s="5" t="inlineStr">
        <is>
          <t>Posts Count</t>
        </is>
      </c>
      <c r="C10" s="5" t="inlineStr">
        <is>
          <t>Avg Engage%</t>
        </is>
      </c>
      <c r="D10" s="5" t="inlineStr">
        <is>
          <t>Demos</t>
        </is>
      </c>
    </row>
    <row r="11">
      <c r="A11" t="inlineStr">
        <is>
          <t>Material Cost Overruns</t>
        </is>
      </c>
      <c r="B11">
        <f>COUNTIF('Post Performance Tracker'!D:D,"Material Cost Overruns")</f>
        <v/>
      </c>
      <c r="C11" s="3">
        <f>IFERROR(AVERAGEIF('Post Performance Tracker'!D:D,"Material Cost Overruns",'Post Performance Tracker'!O:O),0)</f>
        <v/>
      </c>
      <c r="D11">
        <f>SUMIF('Post Performance Tracker'!D:D,"Material Cost Overruns",'Post Performance Tracker'!L:L)</f>
        <v/>
      </c>
    </row>
    <row r="12">
      <c r="A12" t="inlineStr">
        <is>
          <t>Labor Burden Blindness</t>
        </is>
      </c>
      <c r="B12">
        <f>COUNTIF('Post Performance Tracker'!D:D,"Labor Burden Blindness")</f>
        <v/>
      </c>
      <c r="C12" s="3">
        <f>IFERROR(AVERAGEIF('Post Performance Tracker'!D:D,"Labor Burden Blindness",'Post Performance Tracker'!O:O),0)</f>
        <v/>
      </c>
      <c r="D12">
        <f>SUMIF('Post Performance Tracker'!D:D,"Labor Burden Blindness",'Post Performance Tracker'!L:L)</f>
        <v/>
      </c>
    </row>
    <row r="13">
      <c r="A13" t="inlineStr">
        <is>
          <t>Admin Time Waste</t>
        </is>
      </c>
      <c r="B13">
        <f>COUNTIF('Post Performance Tracker'!D:D,"Admin Time Waste")</f>
        <v/>
      </c>
      <c r="C13" s="3">
        <f>IFERROR(AVERAGEIF('Post Performance Tracker'!D:D,"Admin Time Waste",'Post Performance Tracker'!O:O),0)</f>
        <v/>
      </c>
      <c r="D13">
        <f>SUMIF('Post Performance Tracker'!D:D,"Admin Time Waste",'Post Performance Tracker'!L:L)</f>
        <v/>
      </c>
    </row>
    <row r="16">
      <c r="A16" s="4" t="inlineStr">
        <is>
          <t>WEEKLY TRENDS</t>
        </is>
      </c>
    </row>
    <row r="17">
      <c r="A17" s="5" t="inlineStr">
        <is>
          <t>Week</t>
        </is>
      </c>
      <c r="B17" s="5" t="inlineStr">
        <is>
          <t>Posts Published</t>
        </is>
      </c>
      <c r="C17" s="5" t="inlineStr">
        <is>
          <t>Total DMs</t>
        </is>
      </c>
      <c r="D17" s="5" t="inlineStr">
        <is>
          <t>Demos Booked</t>
        </is>
      </c>
    </row>
    <row r="18">
      <c r="A18" t="inlineStr">
        <is>
          <t>Week 1</t>
        </is>
      </c>
      <c r="B18" t="n">
        <v>0</v>
      </c>
      <c r="C18" t="n">
        <v>0</v>
      </c>
      <c r="D18" t="n">
        <v>0</v>
      </c>
    </row>
    <row r="19">
      <c r="A19" t="inlineStr">
        <is>
          <t>Week 2</t>
        </is>
      </c>
      <c r="B19" t="n">
        <v>0</v>
      </c>
      <c r="C19" t="n">
        <v>0</v>
      </c>
      <c r="D19" t="n">
        <v>0</v>
      </c>
    </row>
    <row r="20">
      <c r="A20" t="inlineStr">
        <is>
          <t>Week 3</t>
        </is>
      </c>
      <c r="B20" t="n">
        <v>0</v>
      </c>
      <c r="C20" t="n">
        <v>0</v>
      </c>
      <c r="D20" t="n">
        <v>0</v>
      </c>
    </row>
    <row r="21">
      <c r="A21" t="inlineStr">
        <is>
          <t>Week 4</t>
        </is>
      </c>
      <c r="B21" t="n">
        <v>0</v>
      </c>
      <c r="C21" t="n">
        <v>0</v>
      </c>
      <c r="D21" t="n">
        <v>0</v>
      </c>
    </row>
    <row r="23">
      <c r="A23" s="4" t="inlineStr">
        <is>
          <t>CONVERSION FUNNEL</t>
        </is>
      </c>
    </row>
    <row r="24">
      <c r="A24" s="6" t="inlineStr">
        <is>
          <t>Stage</t>
        </is>
      </c>
      <c r="B24" s="6" t="inlineStr">
        <is>
          <t>Count</t>
        </is>
      </c>
    </row>
    <row r="25">
      <c r="A25" t="inlineStr">
        <is>
          <t>Total Impressions</t>
        </is>
      </c>
      <c r="B25">
        <f>SUM('Post Performance Tracker'!F:F)</f>
        <v/>
      </c>
    </row>
    <row r="26">
      <c r="A26" t="inlineStr">
        <is>
          <t>Total Engagement</t>
        </is>
      </c>
      <c r="B26">
        <f>SUM('Post Performance Tracker'!N:N)</f>
        <v/>
      </c>
    </row>
    <row r="27">
      <c r="A27" t="inlineStr">
        <is>
          <t>DMs Received</t>
        </is>
      </c>
      <c r="B27">
        <f>SUM('Post Performance Tracker'!J:J)</f>
        <v/>
      </c>
    </row>
    <row r="28">
      <c r="A28" t="inlineStr">
        <is>
          <t>Videos Sent</t>
        </is>
      </c>
      <c r="B28">
        <f>SUM('Post Performance Tracker'!K:K)</f>
        <v/>
      </c>
    </row>
    <row r="29">
      <c r="A29" t="inlineStr">
        <is>
          <t>Demos Booked</t>
        </is>
      </c>
      <c r="B29">
        <f>SUM('Post Performance Tracker'!L:L)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5" customWidth="1" min="8" max="8"/>
    <col width="12" customWidth="1" min="9" max="9"/>
    <col width="12" customWidth="1" min="10" max="10"/>
    <col width="15" customWidth="1" min="11" max="11"/>
    <col width="18" customWidth="1" min="12" max="12"/>
  </cols>
  <sheetData>
    <row r="1">
      <c r="A1" s="1" t="inlineStr">
        <is>
          <t>Prospect</t>
        </is>
      </c>
      <c r="B1" s="1" t="inlineStr">
        <is>
          <t>Vertical</t>
        </is>
      </c>
      <c r="C1" s="1" t="inlineStr">
        <is>
          <t>Post ID</t>
        </is>
      </c>
      <c r="D1" s="1" t="inlineStr">
        <is>
          <t>Engage Type</t>
        </is>
      </c>
      <c r="E1" s="1" t="inlineStr">
        <is>
          <t>Date Engaged</t>
        </is>
      </c>
      <c r="F1" s="1" t="inlineStr">
        <is>
          <t>Video Sent</t>
        </is>
      </c>
      <c r="G1" s="1" t="inlineStr">
        <is>
          <t>Demo Date</t>
        </is>
      </c>
      <c r="H1" s="1" t="inlineStr">
        <is>
          <t>Status</t>
        </is>
      </c>
      <c r="I1" s="1" t="inlineStr">
        <is>
          <t>Days→Video</t>
        </is>
      </c>
      <c r="J1" s="1" t="inlineStr">
        <is>
          <t>Days→Demo</t>
        </is>
      </c>
      <c r="K1" s="1" t="inlineStr">
        <is>
          <t>Speed Grade</t>
        </is>
      </c>
      <c r="L1" s="1" t="inlineStr">
        <is>
          <t>Stage</t>
        </is>
      </c>
    </row>
    <row r="2">
      <c r="A2" t="inlineStr">
        <is>
          <t>John Smith</t>
        </is>
      </c>
      <c r="B2" t="inlineStr">
        <is>
          <t>Electrical</t>
        </is>
      </c>
      <c r="C2" t="inlineStr">
        <is>
          <t>EC-001</t>
        </is>
      </c>
      <c r="D2" t="inlineStr">
        <is>
          <t>Comment</t>
        </is>
      </c>
      <c r="E2" s="2" t="n">
        <v>45670</v>
      </c>
      <c r="F2" s="2" t="n">
        <v>45670</v>
      </c>
      <c r="G2" s="2" t="n">
        <v>45675</v>
      </c>
      <c r="H2" t="inlineStr">
        <is>
          <t>Demo Booked</t>
        </is>
      </c>
      <c r="I2">
        <f>IF(F2="","",F2-E2)</f>
        <v/>
      </c>
      <c r="J2">
        <f>IF(G2="","",G2-E2)</f>
        <v/>
      </c>
      <c r="K2">
        <f>IF(I2="","",IF(I2&lt;=1,"🟢 Fast",IF(I2&lt;=3,"🟡 OK","🔴 Slow")))</f>
        <v/>
      </c>
      <c r="L2">
        <f>IF(H2="Demo Booked","Stage 3: Demo",IF(F2&lt;&gt;"","Stage 2: Video Sent",IF(E2&lt;&gt;"","Stage 1: Engaged","")))</f>
        <v/>
      </c>
    </row>
    <row r="3">
      <c r="A3" t="inlineStr">
        <is>
          <t>Mike Johnson</t>
        </is>
      </c>
      <c r="B3" t="inlineStr">
        <is>
          <t>HVAC</t>
        </is>
      </c>
      <c r="C3" t="inlineStr">
        <is>
          <t>HV-001</t>
        </is>
      </c>
      <c r="D3" t="inlineStr">
        <is>
          <t>DM</t>
        </is>
      </c>
      <c r="E3" s="2" t="n">
        <v>45672</v>
      </c>
      <c r="F3" s="2" t="n">
        <v>45672</v>
      </c>
      <c r="G3" s="2" t="n">
        <v>45677</v>
      </c>
      <c r="H3" t="inlineStr">
        <is>
          <t>Demo Booked</t>
        </is>
      </c>
      <c r="I3">
        <f>IF(F3="","",F3-E3)</f>
        <v/>
      </c>
      <c r="J3">
        <f>IF(G3="","",G3-E3)</f>
        <v/>
      </c>
      <c r="K3">
        <f>IF(I3="","",IF(I3&lt;=1,"🟢 Fast",IF(I3&lt;=3,"🟡 OK","🔴 Slow")))</f>
        <v/>
      </c>
      <c r="L3">
        <f>IF(H3="Demo Booked","Stage 3: Demo",IF(F3&lt;&gt;"","Stage 2: Video Sent",IF(E3&lt;&gt;"","Stage 1: Engaged","")))</f>
        <v/>
      </c>
    </row>
    <row r="4">
      <c r="A4" t="inlineStr">
        <is>
          <t>Sarah Williams</t>
        </is>
      </c>
      <c r="B4" t="inlineStr">
        <is>
          <t>Plumbing</t>
        </is>
      </c>
      <c r="C4" t="inlineStr">
        <is>
          <t>PL-001</t>
        </is>
      </c>
      <c r="D4" t="inlineStr">
        <is>
          <t>Comment</t>
        </is>
      </c>
      <c r="E4" s="2" t="n">
        <v>45674</v>
      </c>
      <c r="F4" s="2" t="n">
        <v>45675</v>
      </c>
      <c r="H4" t="inlineStr">
        <is>
          <t>Video Sent</t>
        </is>
      </c>
      <c r="I4">
        <f>IF(F4="","",F4-E4)</f>
        <v/>
      </c>
      <c r="J4">
        <f>IF(G4="","",G4-E4)</f>
        <v/>
      </c>
      <c r="K4">
        <f>IF(I4="","",IF(I4&lt;=1,"🟢 Fast",IF(I4&lt;=3,"🟡 OK","🔴 Slow")))</f>
        <v/>
      </c>
      <c r="L4">
        <f>IF(H4="Demo Booked","Stage 3: Demo",IF(F4&lt;&gt;"","Stage 2: Video Sent",IF(E4&lt;&gt;"","Stage 1: Engaged","")))</f>
        <v/>
      </c>
    </row>
    <row r="5">
      <c r="A5" t="inlineStr">
        <is>
          <t>Dave Martinez</t>
        </is>
      </c>
      <c r="B5" t="inlineStr">
        <is>
          <t>Electrical</t>
        </is>
      </c>
      <c r="C5" t="inlineStr">
        <is>
          <t>EC-001</t>
        </is>
      </c>
      <c r="D5" t="inlineStr">
        <is>
          <t>DM</t>
        </is>
      </c>
      <c r="E5" s="2" t="n">
        <v>45670</v>
      </c>
      <c r="H5" t="inlineStr">
        <is>
          <t>Engaged</t>
        </is>
      </c>
      <c r="I5">
        <f>IF(F5="","",F5-E5)</f>
        <v/>
      </c>
      <c r="J5">
        <f>IF(G5="","",G5-E5)</f>
        <v/>
      </c>
      <c r="K5">
        <f>IF(I5="","",IF(I5&lt;=1,"🟢 Fast",IF(I5&lt;=3,"🟡 OK","🔴 Slow")))</f>
        <v/>
      </c>
      <c r="L5">
        <f>IF(H5="Demo Booked","Stage 3: Demo",IF(F5&lt;&gt;"","Stage 2: Video Sent",IF(E5&lt;&gt;"","Stage 1: Engaged","")))</f>
        <v/>
      </c>
    </row>
  </sheetData>
  <conditionalFormatting sqref="I2:I100">
    <cfRule type="cellIs" priority="1" operator="greaterThan" dxfId="4">
      <formula>2</formula>
    </cfRule>
  </conditionalFormatting>
  <conditionalFormatting sqref="L2:L100">
    <cfRule type="cellIs" priority="2" operator="containsText" dxfId="5">
      <formula>"Stage 3"</formula>
    </cfRule>
    <cfRule type="cellIs" priority="3" operator="containsText" dxfId="6">
      <formula>"Stage 2"</formula>
    </cfRule>
    <cfRule type="cellIs" priority="4" operator="containsText" dxfId="7">
      <formula>"Stage 1"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2026-01-08T01:12:38Z</dcterms:created>
  <dcterms:modified xsi:type="dcterms:W3CDTF">2026-01-08T01:12:38Z</dcterms:modified>
</cp:coreProperties>
</file>