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st Performance Tracker" sheetId="1" state="visible" r:id="rId1"/>
    <sheet name="Dashboard" sheetId="2" state="visible" r:id="rId2"/>
    <sheet name="Response Tracker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0.0&quot;%&quot;"/>
    <numFmt numFmtId="166" formatCode="$0.00"/>
    <numFmt numFmtId="167" formatCode="+0.0%;-0.0%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sz val="14"/>
    </font>
    <font>
      <b val="1"/>
    </font>
  </fonts>
  <fills count="5">
    <fill>
      <patternFill/>
    </fill>
    <fill>
      <patternFill patternType="gray125"/>
    </fill>
    <fill>
      <patternFill patternType="solid">
        <fgColor rgb="004A90E2"/>
        <bgColor rgb="004A90E2"/>
      </patternFill>
    </fill>
    <fill>
      <patternFill patternType="solid">
        <fgColor rgb="009B59B6"/>
        <bgColor rgb="009B59B6"/>
      </patternFill>
    </fill>
    <fill>
      <patternFill patternType="solid">
        <fgColor rgb="00E74C3C"/>
        <bgColor rgb="00E74C3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0" fontId="1" fillId="2" borderId="0" pivotButton="0" quotePrefix="0" xfId="0"/>
    <xf numFmtId="0" fontId="3" fillId="0" borderId="0" pivotButton="0" quotePrefix="0" xfId="0"/>
    <xf numFmtId="165" fontId="3" fillId="0" borderId="0" pivotButton="0" quotePrefix="0" xfId="0"/>
    <xf numFmtId="0" fontId="1" fillId="3" borderId="0" pivotButton="0" quotePrefix="0" xfId="0"/>
    <xf numFmtId="167" fontId="0" fillId="0" borderId="0" pivotButton="0" quotePrefix="0" xfId="0"/>
    <xf numFmtId="0" fontId="1" fillId="4" borderId="0" pivotButton="0" quotePrefix="0" xfId="0"/>
  </cellXfs>
  <cellStyles count="1">
    <cellStyle name="Normal" xfId="0" builtinId="0" hidden="0"/>
  </cellStyles>
  <dxfs count="10">
    <dxf>
      <fill>
        <patternFill patternType="solid">
          <fgColor rgb="00D4EDDA"/>
        </patternFill>
      </fill>
    </dxf>
    <dxf>
      <fill>
        <patternFill patternType="solid">
          <fgColor rgb="00FFF3CD"/>
        </patternFill>
      </fill>
    </dxf>
    <dxf>
      <fill>
        <patternFill patternType="solid">
          <fgColor rgb="00F8D7DA"/>
        </patternFill>
      </fill>
    </dxf>
    <dxf>
      <font>
        <b val="1"/>
        <color rgb="00FFFFFF"/>
      </font>
      <fill>
        <patternFill patternType="solid">
          <fgColor rgb="0034A853"/>
        </patternFill>
      </fill>
    </dxf>
    <dxf>
      <fill>
        <patternFill patternType="solid">
          <fgColor rgb="00E8D5E8"/>
        </patternFill>
      </fill>
    </dxf>
    <dxf>
      <fill>
        <patternFill patternType="solid">
          <fgColor rgb="00D5E8D5"/>
        </patternFill>
      </fill>
    </dxf>
    <dxf>
      <font>
        <b val="1"/>
        <color rgb="00FFFFFF"/>
      </font>
      <fill>
        <patternFill patternType="solid">
          <fgColor rgb="00EA4335"/>
        </patternFill>
      </fill>
    </dxf>
    <dxf>
      <fill>
        <patternFill patternType="solid">
          <fgColor rgb="0034A853"/>
        </patternFill>
      </fill>
    </dxf>
    <dxf>
      <fill>
        <patternFill patternType="solid">
          <fgColor rgb="00FBBC04"/>
        </patternFill>
      </fill>
    </dxf>
    <dxf>
      <fill>
        <patternFill patternType="solid">
          <fgColor rgb="004A90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20" customWidth="1" min="4" max="4"/>
    <col width="12" customWidth="1" min="5" max="5"/>
    <col width="12" customWidth="1" min="6" max="6"/>
    <col width="22" customWidth="1" min="7" max="7"/>
    <col width="35" customWidth="1" min="8" max="8"/>
    <col width="10" customWidth="1" min="9" max="9"/>
    <col width="12" customWidth="1" min="10" max="10"/>
    <col width="8" customWidth="1" min="11" max="11"/>
    <col width="10" customWidth="1" min="12" max="12"/>
    <col width="8" customWidth="1" min="13" max="13"/>
    <col width="12" customWidth="1" min="14" max="14"/>
    <col width="12" customWidth="1" min="15" max="15"/>
    <col width="12" customWidth="1" min="16" max="16"/>
    <col width="35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5" customWidth="1" min="24" max="24"/>
  </cols>
  <sheetData>
    <row r="1">
      <c r="A1" s="1" t="inlineStr">
        <is>
          <t>Post ID</t>
        </is>
      </c>
      <c r="B1" s="1" t="inlineStr">
        <is>
          <t>Date Posted</t>
        </is>
      </c>
      <c r="C1" s="1" t="inlineStr">
        <is>
          <t>Vertical</t>
        </is>
      </c>
      <c r="D1" s="1" t="inlineStr">
        <is>
          <t>Pain Point</t>
        </is>
      </c>
      <c r="E1" s="1" t="inlineStr">
        <is>
          <t>Post Type</t>
        </is>
      </c>
      <c r="F1" s="1" t="inlineStr">
        <is>
          <t>Video Type</t>
        </is>
      </c>
      <c r="G1" s="1" t="inlineStr">
        <is>
          <t>Video Style</t>
        </is>
      </c>
      <c r="H1" s="1" t="inlineStr">
        <is>
          <t>Video URL</t>
        </is>
      </c>
      <c r="I1" s="1" t="inlineStr">
        <is>
          <t>Video Cost</t>
        </is>
      </c>
      <c r="J1" s="1" t="inlineStr">
        <is>
          <t>Impressions</t>
        </is>
      </c>
      <c r="K1" s="1" t="inlineStr">
        <is>
          <t>Likes</t>
        </is>
      </c>
      <c r="L1" s="1" t="inlineStr">
        <is>
          <t>Comments</t>
        </is>
      </c>
      <c r="M1" s="1" t="inlineStr">
        <is>
          <t>Shares</t>
        </is>
      </c>
      <c r="N1" s="1" t="inlineStr">
        <is>
          <t>DMs Received</t>
        </is>
      </c>
      <c r="O1" s="1" t="inlineStr">
        <is>
          <t>Videos Sent</t>
        </is>
      </c>
      <c r="P1" s="1" t="inlineStr">
        <is>
          <t>Demos Booked</t>
        </is>
      </c>
      <c r="Q1" s="1" t="inlineStr">
        <is>
          <t>Notes</t>
        </is>
      </c>
      <c r="R1" s="1" t="inlineStr">
        <is>
          <t>Total Engagement</t>
        </is>
      </c>
      <c r="S1" s="1" t="inlineStr">
        <is>
          <t>Engagement %</t>
        </is>
      </c>
      <c r="T1" s="1" t="inlineStr">
        <is>
          <t>Conversion %</t>
        </is>
      </c>
      <c r="U1" s="1" t="inlineStr">
        <is>
          <t>Video→Demo %</t>
        </is>
      </c>
      <c r="V1" s="1" t="inlineStr">
        <is>
          <t>Cost/Engage</t>
        </is>
      </c>
      <c r="W1" s="1" t="inlineStr">
        <is>
          <t>Tier</t>
        </is>
      </c>
      <c r="X1" s="1" t="inlineStr">
        <is>
          <t>Status</t>
        </is>
      </c>
    </row>
    <row r="2">
      <c r="A2" t="inlineStr">
        <is>
          <t>EC-001</t>
        </is>
      </c>
      <c r="B2" s="2" t="n">
        <v>45670</v>
      </c>
      <c r="C2" t="inlineStr">
        <is>
          <t>Electrical</t>
        </is>
      </c>
      <c r="D2" t="inlineStr">
        <is>
          <t>Material Cost Overruns</t>
        </is>
      </c>
      <c r="E2" t="inlineStr">
        <is>
          <t>Hand-Raiser</t>
        </is>
      </c>
      <c r="F2" t="inlineStr">
        <is>
          <t>Runway</t>
        </is>
      </c>
      <c r="G2" t="inlineStr">
        <is>
          <t>Pain Point Illustration</t>
        </is>
      </c>
      <c r="H2" t="inlineStr">
        <is>
          <t>https://app.runwayml.com/video/ec001</t>
        </is>
      </c>
      <c r="I2" t="n">
        <v>2.5</v>
      </c>
      <c r="J2" t="n">
        <v>1247</v>
      </c>
      <c r="K2" t="n">
        <v>63</v>
      </c>
      <c r="L2" t="n">
        <v>8</v>
      </c>
      <c r="M2" t="n">
        <v>2</v>
      </c>
      <c r="N2" t="n">
        <v>5</v>
      </c>
      <c r="O2" t="n">
        <v>5</v>
      </c>
      <c r="P2" t="n">
        <v>2</v>
      </c>
      <c r="Q2" t="inlineStr">
        <is>
          <t>Runway video: copper price spike animation - high engagement</t>
        </is>
      </c>
      <c r="R2">
        <f>SUM(K2:M2)</f>
        <v/>
      </c>
      <c r="S2" s="3">
        <f>IF(J2&gt;0,R2/J2*100,0)</f>
        <v/>
      </c>
      <c r="T2" s="3">
        <f>IF(J2&gt;0,(L2+N2)/J2*100,0)</f>
        <v/>
      </c>
      <c r="U2" s="3">
        <f>IF(O2&gt;0,P2/O2*100,0)</f>
        <v/>
      </c>
      <c r="V2" s="4">
        <f>IF(R2&gt;0,I2/R2,0)</f>
        <v/>
      </c>
      <c r="W2">
        <f>IF(S2&gt;=5,"🟢 High",IF(S2&gt;=2,"🟡 Medium","🔴 Low"))</f>
        <v/>
      </c>
      <c r="X2">
        <f>IF(P2&gt;0,"✅ Closed",IF(O2&gt;0,"📹 Video Sent",IF(N2&gt;0,"💬 Engaged","👀 Posted")))</f>
        <v/>
      </c>
    </row>
    <row r="3">
      <c r="A3" t="inlineStr">
        <is>
          <t>EC-002</t>
        </is>
      </c>
      <c r="B3" s="2" t="n">
        <v>45672</v>
      </c>
      <c r="C3" t="inlineStr">
        <is>
          <t>Electrical</t>
        </is>
      </c>
      <c r="D3" t="inlineStr">
        <is>
          <t>Labor Burden Blindness</t>
        </is>
      </c>
      <c r="E3" t="inlineStr">
        <is>
          <t>Hand-Raiser</t>
        </is>
      </c>
      <c r="F3" t="inlineStr">
        <is>
          <t>None</t>
        </is>
      </c>
      <c r="G3" t="inlineStr">
        <is>
          <t>N/A</t>
        </is>
      </c>
      <c r="H3" t="inlineStr"/>
      <c r="I3" t="n">
        <v>0</v>
      </c>
      <c r="J3" t="n">
        <v>892</v>
      </c>
      <c r="K3" t="n">
        <v>34</v>
      </c>
      <c r="L3" t="n">
        <v>3</v>
      </c>
      <c r="M3" t="n">
        <v>1</v>
      </c>
      <c r="N3" t="n">
        <v>2</v>
      </c>
      <c r="O3" t="n">
        <v>2</v>
      </c>
      <c r="P3" t="n">
        <v>0</v>
      </c>
      <c r="Q3" t="inlineStr">
        <is>
          <t>Text-only baseline test for comparison</t>
        </is>
      </c>
      <c r="R3">
        <f>SUM(K3:M3)</f>
        <v/>
      </c>
      <c r="S3" s="3">
        <f>IF(J3&gt;0,R3/J3*100,0)</f>
        <v/>
      </c>
      <c r="T3" s="3">
        <f>IF(J3&gt;0,(L3+N3)/J3*100,0)</f>
        <v/>
      </c>
      <c r="U3" s="3">
        <f>IF(O3&gt;0,P3/O3*100,0)</f>
        <v/>
      </c>
      <c r="V3" s="4">
        <f>IF(R3&gt;0,I3/R3,0)</f>
        <v/>
      </c>
      <c r="W3">
        <f>IF(S3&gt;=5,"🟢 High",IF(S3&gt;=2,"🟡 Medium","🔴 Low"))</f>
        <v/>
      </c>
      <c r="X3">
        <f>IF(P3&gt;0,"✅ Closed",IF(O3&gt;0,"📹 Video Sent",IF(N3&gt;0,"💬 Engaged","👀 Posted")))</f>
        <v/>
      </c>
    </row>
    <row r="4">
      <c r="A4" t="inlineStr">
        <is>
          <t>HV-001</t>
        </is>
      </c>
      <c r="B4" s="2" t="n">
        <v>45672</v>
      </c>
      <c r="C4" t="inlineStr">
        <is>
          <t>HVAC</t>
        </is>
      </c>
      <c r="D4" t="inlineStr">
        <is>
          <t>Labor Burden Blindness</t>
        </is>
      </c>
      <c r="E4" t="inlineStr">
        <is>
          <t>Hand-Raiser</t>
        </is>
      </c>
      <c r="F4" t="inlineStr">
        <is>
          <t>Loom</t>
        </is>
      </c>
      <c r="G4" t="inlineStr">
        <is>
          <t>Personal Demo</t>
        </is>
      </c>
      <c r="H4" t="inlineStr">
        <is>
          <t>https://loom.com/share/hv001demo</t>
        </is>
      </c>
      <c r="I4" t="n">
        <v>0</v>
      </c>
      <c r="J4" t="n">
        <v>1583</v>
      </c>
      <c r="K4" t="n">
        <v>87</v>
      </c>
      <c r="L4" t="n">
        <v>12</v>
      </c>
      <c r="M4" t="n">
        <v>4</v>
      </c>
      <c r="N4" t="n">
        <v>8</v>
      </c>
      <c r="O4" t="n">
        <v>7</v>
      </c>
      <c r="P4" t="n">
        <v>3</v>
      </c>
      <c r="Q4" t="inlineStr">
        <is>
          <t>Personal Loom explanation - strong resonance on "80% done"</t>
        </is>
      </c>
      <c r="R4">
        <f>SUM(K4:M4)</f>
        <v/>
      </c>
      <c r="S4" s="3">
        <f>IF(J4&gt;0,R4/J4*100,0)</f>
        <v/>
      </c>
      <c r="T4" s="3">
        <f>IF(J4&gt;0,(L4+N4)/J4*100,0)</f>
        <v/>
      </c>
      <c r="U4" s="3">
        <f>IF(O4&gt;0,P4/O4*100,0)</f>
        <v/>
      </c>
      <c r="V4" s="4">
        <f>IF(R4&gt;0,I4/R4,0)</f>
        <v/>
      </c>
      <c r="W4">
        <f>IF(S4&gt;=5,"🟢 High",IF(S4&gt;=2,"🟡 Medium","🔴 Low"))</f>
        <v/>
      </c>
      <c r="X4">
        <f>IF(P4&gt;0,"✅ Closed",IF(O4&gt;0,"📹 Video Sent",IF(N4&gt;0,"💬 Engaged","👀 Posted")))</f>
        <v/>
      </c>
    </row>
    <row r="5">
      <c r="A5" t="inlineStr">
        <is>
          <t>PL-001</t>
        </is>
      </c>
      <c r="B5" s="2" t="n">
        <v>45674</v>
      </c>
      <c r="C5" t="inlineStr">
        <is>
          <t>Plumbing</t>
        </is>
      </c>
      <c r="D5" t="inlineStr">
        <is>
          <t>Admin Time Waste</t>
        </is>
      </c>
      <c r="E5" t="inlineStr">
        <is>
          <t>Hand-Raiser</t>
        </is>
      </c>
      <c r="F5" t="inlineStr">
        <is>
          <t>Runway</t>
        </is>
      </c>
      <c r="G5" t="inlineStr">
        <is>
          <t>Text Overlay</t>
        </is>
      </c>
      <c r="H5" t="inlineStr">
        <is>
          <t>https://app.runwayml.com/video/pl001</t>
        </is>
      </c>
      <c r="I5" t="n">
        <v>1.75</v>
      </c>
      <c r="J5" t="n">
        <v>1129</v>
      </c>
      <c r="K5" t="n">
        <v>56</v>
      </c>
      <c r="L5" t="n">
        <v>6</v>
      </c>
      <c r="M5" t="n">
        <v>2</v>
      </c>
      <c r="N5" t="n">
        <v>4</v>
      </c>
      <c r="O5" t="n">
        <v>4</v>
      </c>
      <c r="P5" t="n">
        <v>1</v>
      </c>
      <c r="Q5" t="inlineStr">
        <is>
          <t>Runway text animation: "3 HOURS A DAY" - office manager empathy</t>
        </is>
      </c>
      <c r="R5">
        <f>SUM(K5:M5)</f>
        <v/>
      </c>
      <c r="S5" s="3">
        <f>IF(J5&gt;0,R5/J5*100,0)</f>
        <v/>
      </c>
      <c r="T5" s="3">
        <f>IF(J5&gt;0,(L5+N5)/J5*100,0)</f>
        <v/>
      </c>
      <c r="U5" s="3">
        <f>IF(O5&gt;0,P5/O5*100,0)</f>
        <v/>
      </c>
      <c r="V5" s="4">
        <f>IF(R5&gt;0,I5/R5,0)</f>
        <v/>
      </c>
      <c r="W5">
        <f>IF(S5&gt;=5,"🟢 High",IF(S5&gt;=2,"🟡 Medium","🔴 Low"))</f>
        <v/>
      </c>
      <c r="X5">
        <f>IF(P5&gt;0,"✅ Closed",IF(O5&gt;0,"📹 Video Sent",IF(N5&gt;0,"💬 Engaged","👀 Posted")))</f>
        <v/>
      </c>
    </row>
    <row r="6">
      <c r="A6" t="inlineStr">
        <is>
          <t>HV-002</t>
        </is>
      </c>
      <c r="B6" s="2" t="n">
        <v>45677</v>
      </c>
      <c r="C6" t="inlineStr">
        <is>
          <t>HVAC</t>
        </is>
      </c>
      <c r="D6" t="inlineStr">
        <is>
          <t>Material Cost Overruns</t>
        </is>
      </c>
      <c r="E6" t="inlineStr">
        <is>
          <t>Hand-Raiser</t>
        </is>
      </c>
      <c r="F6" t="inlineStr">
        <is>
          <t>Runway</t>
        </is>
      </c>
      <c r="G6" t="inlineStr">
        <is>
          <t>Abstract Motion</t>
        </is>
      </c>
      <c r="H6" t="inlineStr">
        <is>
          <t>https://app.runwayml.com/video/hv002</t>
        </is>
      </c>
      <c r="I6" t="n">
        <v>2</v>
      </c>
      <c r="J6" t="n">
        <v>743</v>
      </c>
      <c r="K6" t="n">
        <v>28</v>
      </c>
      <c r="L6" t="n">
        <v>2</v>
      </c>
      <c r="M6" t="n">
        <v>0</v>
      </c>
      <c r="N6" t="n">
        <v>1</v>
      </c>
      <c r="O6" t="n">
        <v>1</v>
      </c>
      <c r="P6" t="n">
        <v>0</v>
      </c>
      <c r="Q6" t="inlineStr">
        <is>
          <t>Abstract motion graphics - lower fit for HVAC audience</t>
        </is>
      </c>
      <c r="R6">
        <f>SUM(K6:M6)</f>
        <v/>
      </c>
      <c r="S6" s="3">
        <f>IF(J6&gt;0,R6/J6*100,0)</f>
        <v/>
      </c>
      <c r="T6" s="3">
        <f>IF(J6&gt;0,(L6+N6)/J6*100,0)</f>
        <v/>
      </c>
      <c r="U6" s="3">
        <f>IF(O6&gt;0,P6/O6*100,0)</f>
        <v/>
      </c>
      <c r="V6" s="4">
        <f>IF(R6&gt;0,I6/R6,0)</f>
        <v/>
      </c>
      <c r="W6">
        <f>IF(S6&gt;=5,"🟢 High",IF(S6&gt;=2,"🟡 Medium","🔴 Low"))</f>
        <v/>
      </c>
      <c r="X6">
        <f>IF(P6&gt;0,"✅ Closed",IF(O6&gt;0,"📹 Video Sent",IF(N6&gt;0,"💬 Engaged","👀 Posted")))</f>
        <v/>
      </c>
    </row>
    <row r="7">
      <c r="A7" t="inlineStr">
        <is>
          <t>EC-003</t>
        </is>
      </c>
      <c r="B7" s="2" t="n">
        <v>45679</v>
      </c>
      <c r="C7" t="inlineStr">
        <is>
          <t>Electrical</t>
        </is>
      </c>
      <c r="D7" t="inlineStr">
        <is>
          <t>Cash Flow Delays</t>
        </is>
      </c>
      <c r="E7" t="inlineStr">
        <is>
          <t>Educational</t>
        </is>
      </c>
      <c r="F7" t="inlineStr">
        <is>
          <t>None</t>
        </is>
      </c>
      <c r="G7" t="inlineStr">
        <is>
          <t>N/A</t>
        </is>
      </c>
      <c r="H7" t="inlineStr"/>
      <c r="I7" t="n">
        <v>0</v>
      </c>
      <c r="J7" t="n">
        <v>1034</v>
      </c>
      <c r="K7" t="n">
        <v>41</v>
      </c>
      <c r="L7" t="n">
        <v>5</v>
      </c>
      <c r="M7" t="n">
        <v>1</v>
      </c>
      <c r="N7" t="n">
        <v>3</v>
      </c>
      <c r="O7" t="n">
        <v>3</v>
      </c>
      <c r="P7" t="n">
        <v>1</v>
      </c>
      <c r="Q7" t="inlineStr">
        <is>
          <t>Testing new pain point angle without video</t>
        </is>
      </c>
      <c r="R7">
        <f>SUM(K7:M7)</f>
        <v/>
      </c>
      <c r="S7" s="3">
        <f>IF(J7&gt;0,R7/J7*100,0)</f>
        <v/>
      </c>
      <c r="T7" s="3">
        <f>IF(J7&gt;0,(L7+N7)/J7*100,0)</f>
        <v/>
      </c>
      <c r="U7" s="3">
        <f>IF(O7&gt;0,P7/O7*100,0)</f>
        <v/>
      </c>
      <c r="V7" s="4">
        <f>IF(R7&gt;0,I7/R7,0)</f>
        <v/>
      </c>
      <c r="W7">
        <f>IF(S7&gt;=5,"🟢 High",IF(S7&gt;=2,"🟡 Medium","🔴 Low"))</f>
        <v/>
      </c>
      <c r="X7">
        <f>IF(P7&gt;0,"✅ Closed",IF(O7&gt;0,"📹 Video Sent",IF(N7&gt;0,"💬 Engaged","👀 Posted")))</f>
        <v/>
      </c>
    </row>
  </sheetData>
  <conditionalFormatting sqref="S2:S100">
    <cfRule type="colorScale" priority="1">
      <colorScale>
        <cfvo type="num" val="0"/>
        <cfvo type="num" val="5"/>
        <cfvo type="num" val="10"/>
        <color rgb="00EA4335"/>
        <color rgb="00FBBC04"/>
        <color rgb="0034A853"/>
      </colorScale>
    </cfRule>
  </conditionalFormatting>
  <conditionalFormatting sqref="W2:W100">
    <cfRule type="cellIs" priority="2" operator="containsText" dxfId="0">
      <formula>"High"</formula>
    </cfRule>
    <cfRule type="cellIs" priority="3" operator="containsText" dxfId="1">
      <formula>"Medium"</formula>
    </cfRule>
    <cfRule type="cellIs" priority="4" operator="containsText" dxfId="2">
      <formula>"Low"</formula>
    </cfRule>
  </conditionalFormatting>
  <conditionalFormatting sqref="P2:P100">
    <cfRule type="cellIs" priority="5" operator="greaterThan" dxfId="3">
      <formula>0</formula>
    </cfRule>
  </conditionalFormatting>
  <conditionalFormatting sqref="F2:F100">
    <cfRule type="cellIs" priority="6" operator="containsText" dxfId="4">
      <formula>"Runway"</formula>
    </cfRule>
    <cfRule type="cellIs" priority="7" operator="containsText" dxfId="5">
      <formula>"Loom"</formula>
    </cfRule>
  </conditionalFormatting>
  <dataValidations count="5">
    <dataValidation sqref="C2:C100" showDropDown="0" showInputMessage="0" showErrorMessage="0" allowBlank="0" type="list">
      <formula1>"Electrical,HVAC,Plumbing,Energy,Multi-Vertical"</formula1>
    </dataValidation>
    <dataValidation sqref="D2:D100" showDropDown="0" showInputMessage="0" showErrorMessage="0" allowBlank="0" type="list">
      <formula1>"Material Cost Overruns,Labor Burden Blindness,Admin Time Waste,Cash Flow Delays,Job Profitability Opacity"</formula1>
    </dataValidation>
    <dataValidation sqref="E2:E100" showDropDown="0" showInputMessage="0" showErrorMessage="0" allowBlank="0" type="list">
      <formula1>"Hand-Raiser,Educational,Case Study,Poll/Survey,Testimonial"</formula1>
    </dataValidation>
    <dataValidation sqref="F2:F100" showDropDown="0" showInputMessage="0" showErrorMessage="0" allowBlank="0" type="list">
      <formula1>"None,Loom,Runway"</formula1>
    </dataValidation>
    <dataValidation sqref="G2:G100" showDropDown="0" showInputMessage="0" showErrorMessage="0" allowBlank="0" type="list">
      <formula1>"N/A,Personal Demo,Abstract Motion,Pain Point Illustration,Text Overlay,Before-After"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5"/>
  <sheetViews>
    <sheetView workbookViewId="0">
      <selection activeCell="A1" sqref="A1"/>
    </sheetView>
  </sheetViews>
  <sheetFormatPr baseColWidth="8" defaultRowHeight="15"/>
  <cols>
    <col width="2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5" t="inlineStr">
        <is>
          <t>VERTICAL PERFORMANCE SUMMARY</t>
        </is>
      </c>
    </row>
    <row r="2">
      <c r="A2" s="6" t="inlineStr">
        <is>
          <t>Vertical</t>
        </is>
      </c>
      <c r="B2" s="6" t="inlineStr">
        <is>
          <t>Total Posts</t>
        </is>
      </c>
      <c r="C2" s="6" t="inlineStr">
        <is>
          <t>Avg Engage%</t>
        </is>
      </c>
      <c r="D2" s="6" t="inlineStr">
        <is>
          <t>Total DMs</t>
        </is>
      </c>
      <c r="E2" s="6" t="inlineStr">
        <is>
          <t>Videos Sent</t>
        </is>
      </c>
      <c r="F2" s="6" t="inlineStr">
        <is>
          <t>Demos Booked</t>
        </is>
      </c>
    </row>
    <row r="3">
      <c r="A3" t="inlineStr">
        <is>
          <t>Electrical</t>
        </is>
      </c>
      <c r="B3">
        <f>COUNTIF('Post Performance Tracker'!C:C,"Electrical")</f>
        <v/>
      </c>
      <c r="C3" s="3">
        <f>IFERROR(AVERAGEIF('Post Performance Tracker'!C:C,"Electrical",'Post Performance Tracker'!S:S),0)</f>
        <v/>
      </c>
      <c r="D3">
        <f>SUMIF('Post Performance Tracker'!C:C,"Electrical",'Post Performance Tracker'!N:N)</f>
        <v/>
      </c>
      <c r="E3">
        <f>SUMIF('Post Performance Tracker'!C:C,"Electrical",'Post Performance Tracker'!O:O)</f>
        <v/>
      </c>
      <c r="F3">
        <f>SUMIF('Post Performance Tracker'!C:C,"Electrical",'Post Performance Tracker'!P:P)</f>
        <v/>
      </c>
    </row>
    <row r="4">
      <c r="A4" t="inlineStr">
        <is>
          <t>HVAC</t>
        </is>
      </c>
      <c r="B4">
        <f>COUNTIF('Post Performance Tracker'!C:C,"HVAC")</f>
        <v/>
      </c>
      <c r="C4" s="3">
        <f>IFERROR(AVERAGEIF('Post Performance Tracker'!C:C,"HVAC",'Post Performance Tracker'!S:S),0)</f>
        <v/>
      </c>
      <c r="D4">
        <f>SUMIF('Post Performance Tracker'!C:C,"HVAC",'Post Performance Tracker'!N:N)</f>
        <v/>
      </c>
      <c r="E4">
        <f>SUMIF('Post Performance Tracker'!C:C,"HVAC",'Post Performance Tracker'!O:O)</f>
        <v/>
      </c>
      <c r="F4">
        <f>SUMIF('Post Performance Tracker'!C:C,"HVAC",'Post Performance Tracker'!P:P)</f>
        <v/>
      </c>
    </row>
    <row r="5">
      <c r="A5" t="inlineStr">
        <is>
          <t>Plumbing</t>
        </is>
      </c>
      <c r="B5">
        <f>COUNTIF('Post Performance Tracker'!C:C,"Plumbing")</f>
        <v/>
      </c>
      <c r="C5" s="3">
        <f>IFERROR(AVERAGEIF('Post Performance Tracker'!C:C,"Plumbing",'Post Performance Tracker'!S:S),0)</f>
        <v/>
      </c>
      <c r="D5">
        <f>SUMIF('Post Performance Tracker'!C:C,"Plumbing",'Post Performance Tracker'!N:N)</f>
        <v/>
      </c>
      <c r="E5">
        <f>SUMIF('Post Performance Tracker'!C:C,"Plumbing",'Post Performance Tracker'!O:O)</f>
        <v/>
      </c>
      <c r="F5">
        <f>SUMIF('Post Performance Tracker'!C:C,"Plumbing",'Post Performance Tracker'!P:P)</f>
        <v/>
      </c>
    </row>
    <row r="6">
      <c r="A6" s="7" t="inlineStr">
        <is>
          <t>TOTAL</t>
        </is>
      </c>
      <c r="B6" s="7">
        <f>SUM(B3:B5)</f>
        <v/>
      </c>
      <c r="C6" s="8">
        <f>AVERAGE(C3:C5)</f>
        <v/>
      </c>
      <c r="D6" s="7">
        <f>SUM(D3:D5)</f>
        <v/>
      </c>
      <c r="E6" s="7">
        <f>SUM(E3:E5)</f>
        <v/>
      </c>
      <c r="F6" s="7">
        <f>SUM(F3:F5)</f>
        <v/>
      </c>
    </row>
    <row r="9">
      <c r="A9" s="5" t="inlineStr">
        <is>
          <t>VIDEO PERFORMANCE ANALYSIS</t>
        </is>
      </c>
    </row>
    <row r="10">
      <c r="A10" s="9" t="inlineStr">
        <is>
          <t>Video Type</t>
        </is>
      </c>
      <c r="B10" s="9" t="inlineStr">
        <is>
          <t>Posts</t>
        </is>
      </c>
      <c r="C10" s="9" t="inlineStr">
        <is>
          <t>Avg Engage%</t>
        </is>
      </c>
      <c r="D10" s="9" t="inlineStr">
        <is>
          <t>Total DMs</t>
        </is>
      </c>
      <c r="E10" s="9" t="inlineStr">
        <is>
          <t>Demos</t>
        </is>
      </c>
      <c r="F10" s="9" t="inlineStr">
        <is>
          <t>Lift vs None</t>
        </is>
      </c>
    </row>
    <row r="11">
      <c r="A11" t="inlineStr">
        <is>
          <t>None</t>
        </is>
      </c>
      <c r="B11">
        <f>COUNTIF('Post Performance Tracker'!F:F,"None")</f>
        <v/>
      </c>
      <c r="C11" s="3">
        <f>IFERROR(AVERAGEIF('Post Performance Tracker'!F:F,"None",'Post Performance Tracker'!S:S),0)</f>
        <v/>
      </c>
      <c r="D11">
        <f>SUMIF('Post Performance Tracker'!F:F,"None",'Post Performance Tracker'!N:N)</f>
        <v/>
      </c>
      <c r="E11">
        <f>SUMIF('Post Performance Tracker'!F:F,"None",'Post Performance Tracker'!P:P)</f>
        <v/>
      </c>
      <c r="F11" t="inlineStr">
        <is>
          <t>-</t>
        </is>
      </c>
    </row>
    <row r="12">
      <c r="A12" t="inlineStr">
        <is>
          <t>Loom</t>
        </is>
      </c>
      <c r="B12">
        <f>COUNTIF('Post Performance Tracker'!F:F,"Loom")</f>
        <v/>
      </c>
      <c r="C12" s="3">
        <f>IFERROR(AVERAGEIF('Post Performance Tracker'!F:F,"Loom",'Post Performance Tracker'!S:S),0)</f>
        <v/>
      </c>
      <c r="D12">
        <f>SUMIF('Post Performance Tracker'!F:F,"Loom",'Post Performance Tracker'!N:N)</f>
        <v/>
      </c>
      <c r="E12">
        <f>SUMIF('Post Performance Tracker'!F:F,"Loom",'Post Performance Tracker'!P:P)</f>
        <v/>
      </c>
      <c r="F12" s="10">
        <f>IF(C11&gt;0,C12/C11-1,0)</f>
        <v/>
      </c>
    </row>
    <row r="13">
      <c r="A13" t="inlineStr">
        <is>
          <t>Runway</t>
        </is>
      </c>
      <c r="B13">
        <f>COUNTIF('Post Performance Tracker'!F:F,"Runway")</f>
        <v/>
      </c>
      <c r="C13" s="3">
        <f>IFERROR(AVERAGEIF('Post Performance Tracker'!F:F,"Runway",'Post Performance Tracker'!S:S),0)</f>
        <v/>
      </c>
      <c r="D13">
        <f>SUMIF('Post Performance Tracker'!F:F,"Runway",'Post Performance Tracker'!N:N)</f>
        <v/>
      </c>
      <c r="E13">
        <f>SUMIF('Post Performance Tracker'!F:F,"Runway",'Post Performance Tracker'!P:P)</f>
        <v/>
      </c>
      <c r="F13" s="10">
        <f>IF(C11&gt;0,C13/C11-1,0)</f>
        <v/>
      </c>
    </row>
    <row r="16">
      <c r="A16" s="5" t="inlineStr">
        <is>
          <t>RUNWAY VIDEO STYLE PERFORMANCE</t>
        </is>
      </c>
    </row>
    <row r="17">
      <c r="A17" s="11" t="inlineStr">
        <is>
          <t>Video Style</t>
        </is>
      </c>
      <c r="B17" s="11" t="inlineStr">
        <is>
          <t>Posts</t>
        </is>
      </c>
      <c r="C17" s="11" t="inlineStr">
        <is>
          <t>Avg Engage%</t>
        </is>
      </c>
      <c r="D17" s="11" t="inlineStr">
        <is>
          <t>DMs</t>
        </is>
      </c>
      <c r="E17" s="11" t="inlineStr">
        <is>
          <t>Demos</t>
        </is>
      </c>
    </row>
    <row r="18">
      <c r="A18" t="inlineStr">
        <is>
          <t>Abstract Motion</t>
        </is>
      </c>
      <c r="B18">
        <f>COUNTIF('Post Performance Tracker'!G:G,"Abstract Motion")</f>
        <v/>
      </c>
      <c r="C18" s="3">
        <f>IFERROR(AVERAGEIF('Post Performance Tracker'!G:G,"Abstract Motion",'Post Performance Tracker'!S:S),0)</f>
        <v/>
      </c>
      <c r="D18">
        <f>SUMIF('Post Performance Tracker'!G:G,"Abstract Motion",'Post Performance Tracker'!N:N)</f>
        <v/>
      </c>
      <c r="E18">
        <f>SUMIF('Post Performance Tracker'!G:G,"Abstract Motion",'Post Performance Tracker'!P:P)</f>
        <v/>
      </c>
    </row>
    <row r="19">
      <c r="A19" t="inlineStr">
        <is>
          <t>Pain Point Illustration</t>
        </is>
      </c>
      <c r="B19">
        <f>COUNTIF('Post Performance Tracker'!G:G,"Pain Point Illustration")</f>
        <v/>
      </c>
      <c r="C19" s="3">
        <f>IFERROR(AVERAGEIF('Post Performance Tracker'!G:G,"Pain Point Illustration",'Post Performance Tracker'!S:S),0)</f>
        <v/>
      </c>
      <c r="D19">
        <f>SUMIF('Post Performance Tracker'!G:G,"Pain Point Illustration",'Post Performance Tracker'!N:N)</f>
        <v/>
      </c>
      <c r="E19">
        <f>SUMIF('Post Performance Tracker'!G:G,"Pain Point Illustration",'Post Performance Tracker'!P:P)</f>
        <v/>
      </c>
    </row>
    <row r="20">
      <c r="A20" t="inlineStr">
        <is>
          <t>Text Overlay</t>
        </is>
      </c>
      <c r="B20">
        <f>COUNTIF('Post Performance Tracker'!G:G,"Text Overlay")</f>
        <v/>
      </c>
      <c r="C20" s="3">
        <f>IFERROR(AVERAGEIF('Post Performance Tracker'!G:G,"Text Overlay",'Post Performance Tracker'!S:S),0)</f>
        <v/>
      </c>
      <c r="D20">
        <f>SUMIF('Post Performance Tracker'!G:G,"Text Overlay",'Post Performance Tracker'!N:N)</f>
        <v/>
      </c>
      <c r="E20">
        <f>SUMIF('Post Performance Tracker'!G:G,"Text Overlay",'Post Performance Tracker'!P:P)</f>
        <v/>
      </c>
    </row>
    <row r="21">
      <c r="A21" t="inlineStr">
        <is>
          <t>Before-After</t>
        </is>
      </c>
      <c r="B21">
        <f>COUNTIF('Post Performance Tracker'!G:G,"Before-After")</f>
        <v/>
      </c>
      <c r="C21" s="3">
        <f>IFERROR(AVERAGEIF('Post Performance Tracker'!G:G,"Before-After",'Post Performance Tracker'!S:S),0)</f>
        <v/>
      </c>
      <c r="D21">
        <f>SUMIF('Post Performance Tracker'!G:G,"Before-After",'Post Performance Tracker'!N:N)</f>
        <v/>
      </c>
      <c r="E21">
        <f>SUMIF('Post Performance Tracker'!G:G,"Before-After",'Post Performance Tracker'!P:P)</f>
        <v/>
      </c>
    </row>
    <row r="24">
      <c r="A24" s="5" t="inlineStr">
        <is>
          <t>PAIN POINT PERFORMANCE</t>
        </is>
      </c>
    </row>
    <row r="25">
      <c r="A25" s="6" t="inlineStr">
        <is>
          <t>Pain Point</t>
        </is>
      </c>
      <c r="B25" s="6" t="inlineStr">
        <is>
          <t>Posts Count</t>
        </is>
      </c>
      <c r="C25" s="6" t="inlineStr">
        <is>
          <t>Avg Engage%</t>
        </is>
      </c>
      <c r="D25" s="6" t="inlineStr">
        <is>
          <t>Demos</t>
        </is>
      </c>
    </row>
    <row r="26">
      <c r="A26" t="inlineStr">
        <is>
          <t>Material Cost Overruns</t>
        </is>
      </c>
      <c r="B26">
        <f>COUNTIF('Post Performance Tracker'!D:D,"Material Cost Overruns")</f>
        <v/>
      </c>
      <c r="C26" s="3">
        <f>IFERROR(AVERAGEIF('Post Performance Tracker'!D:D,"Material Cost Overruns",'Post Performance Tracker'!S:S),0)</f>
        <v/>
      </c>
      <c r="D26">
        <f>SUMIF('Post Performance Tracker'!D:D,"Material Cost Overruns",'Post Performance Tracker'!P:P)</f>
        <v/>
      </c>
    </row>
    <row r="27">
      <c r="A27" t="inlineStr">
        <is>
          <t>Labor Burden Blindness</t>
        </is>
      </c>
      <c r="B27">
        <f>COUNTIF('Post Performance Tracker'!D:D,"Labor Burden Blindness")</f>
        <v/>
      </c>
      <c r="C27" s="3">
        <f>IFERROR(AVERAGEIF('Post Performance Tracker'!D:D,"Labor Burden Blindness",'Post Performance Tracker'!S:S),0)</f>
        <v/>
      </c>
      <c r="D27">
        <f>SUMIF('Post Performance Tracker'!D:D,"Labor Burden Blindness",'Post Performance Tracker'!P:P)</f>
        <v/>
      </c>
    </row>
    <row r="28">
      <c r="A28" t="inlineStr">
        <is>
          <t>Admin Time Waste</t>
        </is>
      </c>
      <c r="B28">
        <f>COUNTIF('Post Performance Tracker'!D:D,"Admin Time Waste")</f>
        <v/>
      </c>
      <c r="C28" s="3">
        <f>IFERROR(AVERAGEIF('Post Performance Tracker'!D:D,"Admin Time Waste",'Post Performance Tracker'!S:S),0)</f>
        <v/>
      </c>
      <c r="D28">
        <f>SUMIF('Post Performance Tracker'!D:D,"Admin Time Waste",'Post Performance Tracker'!P:P)</f>
        <v/>
      </c>
    </row>
    <row r="29">
      <c r="A29" t="inlineStr">
        <is>
          <t>Cash Flow Delays</t>
        </is>
      </c>
      <c r="B29">
        <f>COUNTIF('Post Performance Tracker'!D:D,"Cash Flow Delays")</f>
        <v/>
      </c>
      <c r="C29" s="3">
        <f>IFERROR(AVERAGEIF('Post Performance Tracker'!D:D,"Cash Flow Delays",'Post Performance Tracker'!S:S),0)</f>
        <v/>
      </c>
      <c r="D29">
        <f>SUMIF('Post Performance Tracker'!D:D,"Cash Flow Delays",'Post Performance Tracker'!P:P)</f>
        <v/>
      </c>
    </row>
    <row r="30">
      <c r="A30" t="inlineStr">
        <is>
          <t>Job Profitability Opacity</t>
        </is>
      </c>
      <c r="B30">
        <f>COUNTIF('Post Performance Tracker'!D:D,"Job Profitability Opacity")</f>
        <v/>
      </c>
      <c r="C30" s="3">
        <f>IFERROR(AVERAGEIF('Post Performance Tracker'!D:D,"Job Profitability Opacity",'Post Performance Tracker'!S:S),0)</f>
        <v/>
      </c>
      <c r="D30">
        <f>SUMIF('Post Performance Tracker'!D:D,"Job Profitability Opacity",'Post Performance Tracker'!P:P)</f>
        <v/>
      </c>
    </row>
    <row r="33">
      <c r="A33" s="5" t="inlineStr">
        <is>
          <t>CONVERSION FUNNEL</t>
        </is>
      </c>
    </row>
    <row r="34">
      <c r="A34" s="7" t="inlineStr">
        <is>
          <t>Stage</t>
        </is>
      </c>
      <c r="B34" s="7" t="inlineStr">
        <is>
          <t>Count</t>
        </is>
      </c>
    </row>
    <row r="35">
      <c r="A35" t="inlineStr">
        <is>
          <t>Total Impressions</t>
        </is>
      </c>
      <c r="B35">
        <f>SUM('Post Performance Tracker'!J:J)</f>
        <v/>
      </c>
    </row>
    <row r="36">
      <c r="A36" t="inlineStr">
        <is>
          <t>Total Engagement</t>
        </is>
      </c>
      <c r="B36">
        <f>SUM('Post Performance Tracker'!R:R)</f>
        <v/>
      </c>
    </row>
    <row r="37">
      <c r="A37" t="inlineStr">
        <is>
          <t>DMs Received</t>
        </is>
      </c>
      <c r="B37">
        <f>SUM('Post Performance Tracker'!N:N)</f>
        <v/>
      </c>
    </row>
    <row r="38">
      <c r="A38" t="inlineStr">
        <is>
          <t>Videos Sent</t>
        </is>
      </c>
      <c r="B38">
        <f>SUM('Post Performance Tracker'!O:O)</f>
        <v/>
      </c>
    </row>
    <row r="39">
      <c r="A39" t="inlineStr">
        <is>
          <t>Demos Booked</t>
        </is>
      </c>
      <c r="B39">
        <f>SUM('Post Performance Tracker'!P:P)</f>
        <v/>
      </c>
    </row>
    <row r="42">
      <c r="A42" s="5" t="inlineStr">
        <is>
          <t>VIDEO ROI SUMMARY</t>
        </is>
      </c>
    </row>
    <row r="43">
      <c r="A43" t="inlineStr">
        <is>
          <t>Total Video Cost</t>
        </is>
      </c>
      <c r="B43" s="4">
        <f>SUM('Post Performance Tracker'!I:I)</f>
        <v/>
      </c>
    </row>
    <row r="44">
      <c r="A44" t="inlineStr">
        <is>
          <t>Cost per Demo (Video Posts)</t>
        </is>
      </c>
      <c r="B44" s="4">
        <f>IF(SUM('Post Performance Tracker'!P:P)&gt;0,B43/SUMIF('Post Performance Tracker'!F:F,"&lt;&gt;None",'Post Performance Tracker'!P:P),0)</f>
        <v/>
      </c>
    </row>
    <row r="45">
      <c r="A45" t="inlineStr">
        <is>
          <t>Video Engagement Premium</t>
        </is>
      </c>
      <c r="B45" s="10">
        <f>IF(C11&gt;0,(C12+C13)/2/C11-1,0)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10" customWidth="1" min="3" max="3"/>
    <col width="12" customWidth="1" min="4" max="4"/>
    <col width="14" customWidth="1" min="5" max="5"/>
    <col width="14" customWidth="1" min="6" max="6"/>
    <col width="14" customWidth="1" min="7" max="7"/>
    <col width="15" customWidth="1" min="8" max="8"/>
    <col width="12" customWidth="1" min="9" max="9"/>
    <col width="12" customWidth="1" min="10" max="10"/>
    <col width="15" customWidth="1" min="11" max="11"/>
    <col width="18" customWidth="1" min="12" max="12"/>
  </cols>
  <sheetData>
    <row r="1">
      <c r="A1" s="1" t="inlineStr">
        <is>
          <t>Prospect</t>
        </is>
      </c>
      <c r="B1" s="1" t="inlineStr">
        <is>
          <t>Vertical</t>
        </is>
      </c>
      <c r="C1" s="1" t="inlineStr">
        <is>
          <t>Post ID</t>
        </is>
      </c>
      <c r="D1" s="1" t="inlineStr">
        <is>
          <t>Engage Type</t>
        </is>
      </c>
      <c r="E1" s="1" t="inlineStr">
        <is>
          <t>Date Engaged</t>
        </is>
      </c>
      <c r="F1" s="1" t="inlineStr">
        <is>
          <t>Video Sent</t>
        </is>
      </c>
      <c r="G1" s="1" t="inlineStr">
        <is>
          <t>Demo Date</t>
        </is>
      </c>
      <c r="H1" s="1" t="inlineStr">
        <is>
          <t>Status</t>
        </is>
      </c>
      <c r="I1" s="1" t="inlineStr">
        <is>
          <t>Days→Video</t>
        </is>
      </c>
      <c r="J1" s="1" t="inlineStr">
        <is>
          <t>Days→Demo</t>
        </is>
      </c>
      <c r="K1" s="1" t="inlineStr">
        <is>
          <t>Speed Grade</t>
        </is>
      </c>
      <c r="L1" s="1" t="inlineStr">
        <is>
          <t>Stage</t>
        </is>
      </c>
    </row>
    <row r="2">
      <c r="A2" t="inlineStr">
        <is>
          <t>John Smith</t>
        </is>
      </c>
      <c r="B2" t="inlineStr">
        <is>
          <t>Electrical</t>
        </is>
      </c>
      <c r="C2" t="inlineStr">
        <is>
          <t>EC-001</t>
        </is>
      </c>
      <c r="D2" t="inlineStr">
        <is>
          <t>Comment</t>
        </is>
      </c>
      <c r="E2" s="2" t="n">
        <v>45670</v>
      </c>
      <c r="F2" s="2" t="n">
        <v>45670</v>
      </c>
      <c r="G2" s="2" t="n">
        <v>45675</v>
      </c>
      <c r="H2" t="inlineStr">
        <is>
          <t>Demo Booked</t>
        </is>
      </c>
      <c r="I2">
        <f>IF(F2="","",F2-E2)</f>
        <v/>
      </c>
      <c r="J2">
        <f>IF(G2="","",G2-E2)</f>
        <v/>
      </c>
      <c r="K2">
        <f>IF(I2="","",IF(I2&lt;=1,"🟢 Fast",IF(I2&lt;=3,"🟡 OK","🔴 Slow")))</f>
        <v/>
      </c>
      <c r="L2">
        <f>IF(H2="Demo Booked","Stage 3: Demo",IF(F2&lt;&gt;"","Stage 2: Video Sent",IF(E2&lt;&gt;"","Stage 1: Engaged","")))</f>
        <v/>
      </c>
    </row>
    <row r="3">
      <c r="A3" t="inlineStr">
        <is>
          <t>Mike Johnson</t>
        </is>
      </c>
      <c r="B3" t="inlineStr">
        <is>
          <t>HVAC</t>
        </is>
      </c>
      <c r="C3" t="inlineStr">
        <is>
          <t>HV-001</t>
        </is>
      </c>
      <c r="D3" t="inlineStr">
        <is>
          <t>DM</t>
        </is>
      </c>
      <c r="E3" s="2" t="n">
        <v>45672</v>
      </c>
      <c r="F3" s="2" t="n">
        <v>45672</v>
      </c>
      <c r="G3" s="2" t="n">
        <v>45677</v>
      </c>
      <c r="H3" t="inlineStr">
        <is>
          <t>Demo Booked</t>
        </is>
      </c>
      <c r="I3">
        <f>IF(F3="","",F3-E3)</f>
        <v/>
      </c>
      <c r="J3">
        <f>IF(G3="","",G3-E3)</f>
        <v/>
      </c>
      <c r="K3">
        <f>IF(I3="","",IF(I3&lt;=1,"🟢 Fast",IF(I3&lt;=3,"🟡 OK","🔴 Slow")))</f>
        <v/>
      </c>
      <c r="L3">
        <f>IF(H3="Demo Booked","Stage 3: Demo",IF(F3&lt;&gt;"","Stage 2: Video Sent",IF(E3&lt;&gt;"","Stage 1: Engaged","")))</f>
        <v/>
      </c>
    </row>
    <row r="4">
      <c r="A4" t="inlineStr">
        <is>
          <t>Sarah Williams</t>
        </is>
      </c>
      <c r="B4" t="inlineStr">
        <is>
          <t>Plumbing</t>
        </is>
      </c>
      <c r="C4" t="inlineStr">
        <is>
          <t>PL-001</t>
        </is>
      </c>
      <c r="D4" t="inlineStr">
        <is>
          <t>Comment</t>
        </is>
      </c>
      <c r="E4" s="2" t="n">
        <v>45674</v>
      </c>
      <c r="F4" s="2" t="n">
        <v>45675</v>
      </c>
      <c r="H4" t="inlineStr">
        <is>
          <t>Video Sent</t>
        </is>
      </c>
      <c r="I4">
        <f>IF(F4="","",F4-E4)</f>
        <v/>
      </c>
      <c r="J4">
        <f>IF(G4="","",G4-E4)</f>
        <v/>
      </c>
      <c r="K4">
        <f>IF(I4="","",IF(I4&lt;=1,"🟢 Fast",IF(I4&lt;=3,"🟡 OK","🔴 Slow")))</f>
        <v/>
      </c>
      <c r="L4">
        <f>IF(H4="Demo Booked","Stage 3: Demo",IF(F4&lt;&gt;"","Stage 2: Video Sent",IF(E4&lt;&gt;"","Stage 1: Engaged","")))</f>
        <v/>
      </c>
    </row>
    <row r="5">
      <c r="A5" t="inlineStr">
        <is>
          <t>Dave Martinez</t>
        </is>
      </c>
      <c r="B5" t="inlineStr">
        <is>
          <t>Electrical</t>
        </is>
      </c>
      <c r="C5" t="inlineStr">
        <is>
          <t>EC-001</t>
        </is>
      </c>
      <c r="D5" t="inlineStr">
        <is>
          <t>DM</t>
        </is>
      </c>
      <c r="E5" s="2" t="n">
        <v>45670</v>
      </c>
      <c r="H5" t="inlineStr">
        <is>
          <t>Engaged</t>
        </is>
      </c>
      <c r="I5">
        <f>IF(F5="","",F5-E5)</f>
        <v/>
      </c>
      <c r="J5">
        <f>IF(G5="","",G5-E5)</f>
        <v/>
      </c>
      <c r="K5">
        <f>IF(I5="","",IF(I5&lt;=1,"🟢 Fast",IF(I5&lt;=3,"🟡 OK","🔴 Slow")))</f>
        <v/>
      </c>
      <c r="L5">
        <f>IF(H5="Demo Booked","Stage 3: Demo",IF(F5&lt;&gt;"","Stage 2: Video Sent",IF(E5&lt;&gt;"","Stage 1: Engaged","")))</f>
        <v/>
      </c>
    </row>
  </sheetData>
  <conditionalFormatting sqref="I2:I100">
    <cfRule type="cellIs" priority="1" operator="greaterThan" dxfId="6">
      <formula>2</formula>
    </cfRule>
  </conditionalFormatting>
  <conditionalFormatting sqref="L2:L100">
    <cfRule type="cellIs" priority="2" operator="containsText" dxfId="7">
      <formula>"Stage 3"</formula>
    </cfRule>
    <cfRule type="cellIs" priority="3" operator="containsText" dxfId="8">
      <formula>"Stage 2"</formula>
    </cfRule>
    <cfRule type="cellIs" priority="4" operator="containsText" dxfId="9">
      <formula>"Stage 1"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2026-01-08T02:52:01Z</dcterms:created>
  <dcterms:modified xsi:type="dcterms:W3CDTF">2026-01-08T02:52:01Z</dcterms:modified>
</cp:coreProperties>
</file>